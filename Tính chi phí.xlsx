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" sheetId="1" r:id="rId4"/>
    <sheet state="visible" name="T01" sheetId="2" r:id="rId5"/>
  </sheets>
  <definedNames/>
  <calcPr/>
</workbook>
</file>

<file path=xl/sharedStrings.xml><?xml version="1.0" encoding="utf-8"?>
<sst xmlns="http://schemas.openxmlformats.org/spreadsheetml/2006/main" count="56" uniqueCount="20">
  <si>
    <t>Date</t>
  </si>
  <si>
    <t>Description</t>
  </si>
  <si>
    <t>Người trả</t>
  </si>
  <si>
    <t>Total Amount</t>
  </si>
  <si>
    <t>Vũ</t>
  </si>
  <si>
    <t>Duyên</t>
  </si>
  <si>
    <t>Phi</t>
  </si>
  <si>
    <t>Trổi</t>
  </si>
  <si>
    <t>Số người</t>
  </si>
  <si>
    <t>Tiền mỗi người</t>
  </si>
  <si>
    <t>Chìa khóa</t>
  </si>
  <si>
    <t>Anh Phi</t>
  </si>
  <si>
    <t>Column 1</t>
  </si>
  <si>
    <t xml:space="preserve">Anh Phi </t>
  </si>
  <si>
    <t>Anh Trổi</t>
  </si>
  <si>
    <t>Wifi</t>
  </si>
  <si>
    <t>Nước</t>
  </si>
  <si>
    <t>Đi chợ</t>
  </si>
  <si>
    <t>Tiền đổi nước</t>
  </si>
  <si>
    <t>Tiền nhậu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</si>
</sst>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[$ ₫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Mẫ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ẫu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0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Table1" name="Table1" id="1">
  <tableColumns count="10">
    <tableColumn name="Date" id="1"/>
    <tableColumn name="Description" id="2"/>
    <tableColumn name="Người trả" id="3"/>
    <tableColumn name="Total Amount" id="4"/>
    <tableColumn name="Vũ" id="5"/>
    <tableColumn name="Duyên" id="6"/>
    <tableColumn name="Phi" id="7"/>
    <tableColumn name="Trổi" id="8"/>
    <tableColumn name="Số người" id="9"/>
    <tableColumn name="Tiền mỗi người" id="10"/>
  </tableColumns>
  <tableStyleInfo name="Mẫu-style" showColumnStripes="0" showFirstColumn="1" showLastColumn="1" showRowStripes="1"/>
</table>
</file>

<file path=xl/tables/table2.xml><?xml version="1.0" encoding="utf-8"?>
<table xmlns="http://schemas.openxmlformats.org/spreadsheetml/2006/main" ref="L2:P6" displayName="Table2" name="Table2" id="2">
  <tableColumns count="5">
    <tableColumn name="Column 1" id="1"/>
    <tableColumn name="Anh Phi " id="2"/>
    <tableColumn name="Anh Trổi" id="3"/>
    <tableColumn name="Vũ" id="4"/>
    <tableColumn name="Duyên" id="5"/>
  </tableColumns>
  <tableStyleInfo name="Mẫu-style 2" showColumnStripes="0" showFirstColumn="1" showLastColumn="1" showRowStripes="1"/>
</table>
</file>

<file path=xl/tables/table3.xml><?xml version="1.0" encoding="utf-8"?>
<table xmlns="http://schemas.openxmlformats.org/spreadsheetml/2006/main" ref="A1:J7" displayName="Table1_2" name="Table1_2" id="3">
  <tableColumns count="10">
    <tableColumn name="Date" id="1"/>
    <tableColumn name="Description" id="2"/>
    <tableColumn name="Người trả" id="3"/>
    <tableColumn name="Total Amount" id="4"/>
    <tableColumn name="Vũ" id="5"/>
    <tableColumn name="Duyên" id="6"/>
    <tableColumn name="Phi" id="7"/>
    <tableColumn name="Trổi" id="8"/>
    <tableColumn name="Số người" id="9"/>
    <tableColumn name="Tiền mỗi người" id="10"/>
  </tableColumns>
  <tableStyleInfo name="T01-style" showColumnStripes="0" showFirstColumn="1" showLastColumn="1" showRowStripes="1"/>
</table>
</file>

<file path=xl/tables/table4.xml><?xml version="1.0" encoding="utf-8"?>
<table xmlns="http://schemas.openxmlformats.org/spreadsheetml/2006/main" ref="L2:P6" displayName="Table2_2" name="Table2_2" id="4">
  <tableColumns count="5">
    <tableColumn name="Column 1" id="1"/>
    <tableColumn name="Anh Phi " id="2"/>
    <tableColumn name="Anh Trổi" id="3"/>
    <tableColumn name="Vũ" id="4"/>
    <tableColumn name="Duyên" id="5"/>
  </tableColumns>
  <tableStyleInfo name="T0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5.38"/>
    <col customWidth="1" min="3" max="3" width="15.63"/>
    <col customWidth="1" min="4" max="10" width="15.38"/>
    <col customWidth="1" min="11" max="11" width="12.5"/>
    <col customWidth="1" min="12" max="12" width="12.63"/>
    <col customWidth="1" min="13" max="14" width="14.88"/>
    <col customWidth="1" min="15" max="15" width="10.75"/>
    <col customWidth="1" min="16" max="16" width="13.38"/>
    <col customWidth="1" min="17" max="18" width="28.0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46023.0</v>
      </c>
      <c r="B2" s="4" t="s">
        <v>10</v>
      </c>
      <c r="C2" s="5" t="s">
        <v>11</v>
      </c>
      <c r="D2" s="6">
        <v>56000.0</v>
      </c>
      <c r="E2" s="7" t="b">
        <v>1</v>
      </c>
      <c r="F2" s="7" t="b">
        <v>1</v>
      </c>
      <c r="G2" s="7" t="b">
        <v>1</v>
      </c>
      <c r="H2" s="7" t="b">
        <v>1</v>
      </c>
      <c r="I2" s="8">
        <f t="shared" ref="I2:I7" si="1">COUNTIF(E2:H2, TRUE)</f>
        <v>4</v>
      </c>
      <c r="J2" s="9">
        <f t="shared" ref="J2:J7" si="2">D2/I2</f>
        <v>14000</v>
      </c>
      <c r="L2" s="10" t="s">
        <v>12</v>
      </c>
      <c r="M2" s="11" t="s">
        <v>13</v>
      </c>
      <c r="N2" s="11" t="s">
        <v>14</v>
      </c>
      <c r="O2" s="11" t="s">
        <v>4</v>
      </c>
      <c r="P2" s="11" t="s">
        <v>5</v>
      </c>
    </row>
    <row r="3" ht="22.5" customHeight="1">
      <c r="A3" s="3">
        <v>46054.0</v>
      </c>
      <c r="B3" s="4" t="s">
        <v>15</v>
      </c>
      <c r="C3" s="5" t="s">
        <v>11</v>
      </c>
      <c r="D3" s="6">
        <v>1674000.0</v>
      </c>
      <c r="E3" s="7" t="b">
        <v>1</v>
      </c>
      <c r="F3" s="12" t="b">
        <v>1</v>
      </c>
      <c r="G3" s="7" t="b">
        <v>1</v>
      </c>
      <c r="H3" s="12" t="b">
        <v>1</v>
      </c>
      <c r="I3" s="8">
        <f t="shared" si="1"/>
        <v>4</v>
      </c>
      <c r="J3" s="9">
        <f t="shared" si="2"/>
        <v>418500</v>
      </c>
      <c r="L3" s="13" t="s">
        <v>4</v>
      </c>
      <c r="M3" s="14">
        <f>SUMIFS($J:$J, $C:$C, "Anh Phi", $E:$E, TRUE)</f>
        <v>491500</v>
      </c>
      <c r="N3" s="14">
        <f>SUMIFS($J:$J, $C:$C, "Anh Trổi", $E:$E, TRUE)</f>
        <v>175000</v>
      </c>
      <c r="O3" s="15">
        <v>0.0</v>
      </c>
      <c r="P3" s="14">
        <f>SUMIFS($J:$J, $C:$C, "Duyên", $E:$E, TRUE)</f>
        <v>0</v>
      </c>
      <c r="Q3" s="16"/>
      <c r="R3" s="16"/>
    </row>
    <row r="4" ht="22.5" customHeight="1">
      <c r="A4" s="3">
        <v>46082.0</v>
      </c>
      <c r="B4" s="4" t="s">
        <v>16</v>
      </c>
      <c r="C4" s="5" t="s">
        <v>11</v>
      </c>
      <c r="D4" s="6">
        <v>236000.0</v>
      </c>
      <c r="E4" s="7" t="b">
        <v>1</v>
      </c>
      <c r="F4" s="12" t="b">
        <v>1</v>
      </c>
      <c r="G4" s="7" t="b">
        <v>1</v>
      </c>
      <c r="H4" s="7" t="b">
        <v>1</v>
      </c>
      <c r="I4" s="8">
        <f t="shared" si="1"/>
        <v>4</v>
      </c>
      <c r="J4" s="9">
        <f t="shared" si="2"/>
        <v>59000</v>
      </c>
      <c r="L4" s="13" t="s">
        <v>5</v>
      </c>
      <c r="M4" s="14">
        <f>SUMIFS($J:$J, $C:$C, "Anh Phi", $F:$F, TRUE)</f>
        <v>491500</v>
      </c>
      <c r="N4" s="14">
        <f>SUMIFS($J:$J, $C:$C, "Anh Trổi", $F:$F, TRUE)</f>
        <v>175000</v>
      </c>
      <c r="O4" s="9">
        <f>SUMIFS($J:$J, $C:$C, "Vũ", $F:$F, TRUE)</f>
        <v>131666.6667</v>
      </c>
      <c r="P4" s="17">
        <v>0.0</v>
      </c>
      <c r="Q4" s="18"/>
      <c r="R4" s="18"/>
    </row>
    <row r="5" ht="22.5" customHeight="1">
      <c r="A5" s="3">
        <v>46113.0</v>
      </c>
      <c r="B5" s="4" t="s">
        <v>17</v>
      </c>
      <c r="C5" s="5" t="s">
        <v>14</v>
      </c>
      <c r="D5" s="6">
        <v>200000.0</v>
      </c>
      <c r="E5" s="12" t="b">
        <v>1</v>
      </c>
      <c r="F5" s="7" t="b">
        <v>1</v>
      </c>
      <c r="G5" s="7" t="b">
        <v>1</v>
      </c>
      <c r="H5" s="12" t="b">
        <v>1</v>
      </c>
      <c r="I5" s="8">
        <f t="shared" si="1"/>
        <v>4</v>
      </c>
      <c r="J5" s="9">
        <f t="shared" si="2"/>
        <v>50000</v>
      </c>
      <c r="L5" s="13" t="s">
        <v>14</v>
      </c>
      <c r="M5" s="14">
        <f>SUMIFS($J:$J, $C:$C, "Anh Phi", $H:$H, TRUE)</f>
        <v>491500</v>
      </c>
      <c r="N5" s="14">
        <v>0.0</v>
      </c>
      <c r="O5" s="9">
        <f>SUMIFS($J:$J, $C:$C, "Vũ", $H:$H, TRUE)</f>
        <v>131666.6667</v>
      </c>
      <c r="P5" s="19">
        <f>SUMIFS($J:$J, $C:$C, "Duyên", $H:$H, TRUE)</f>
        <v>0</v>
      </c>
      <c r="Q5" s="18"/>
      <c r="R5" s="18"/>
    </row>
    <row r="6" ht="22.5" customHeight="1">
      <c r="A6" s="3">
        <v>46143.0</v>
      </c>
      <c r="B6" s="4" t="s">
        <v>18</v>
      </c>
      <c r="C6" s="5" t="s">
        <v>14</v>
      </c>
      <c r="D6" s="6">
        <v>500000.0</v>
      </c>
      <c r="E6" s="12" t="b">
        <v>1</v>
      </c>
      <c r="F6" s="12" t="b">
        <v>1</v>
      </c>
      <c r="G6" s="12" t="b">
        <v>1</v>
      </c>
      <c r="H6" s="12" t="b">
        <v>1</v>
      </c>
      <c r="I6" s="8">
        <f t="shared" si="1"/>
        <v>4</v>
      </c>
      <c r="J6" s="9">
        <f t="shared" si="2"/>
        <v>125000</v>
      </c>
      <c r="L6" s="13" t="s">
        <v>13</v>
      </c>
      <c r="M6" s="14"/>
      <c r="N6" s="9">
        <f>SUMIFS($J:$J, $C:$C, "Anh Trổi", $G:$G, TRUE)</f>
        <v>175000</v>
      </c>
      <c r="O6" s="9">
        <f>SUMIFS($J:$J, $C:$C, "Vũ", $G:$G, TRUE)</f>
        <v>0</v>
      </c>
      <c r="P6" s="19">
        <f>SUMIFS($J:$J, $C:$C, "Duyên", $G:$G, TRUE)</f>
        <v>0</v>
      </c>
      <c r="Q6" s="18"/>
      <c r="R6" s="20"/>
    </row>
    <row r="7" ht="22.5" customHeight="1">
      <c r="A7" s="3">
        <v>46174.0</v>
      </c>
      <c r="B7" s="4" t="s">
        <v>19</v>
      </c>
      <c r="C7" s="5" t="s">
        <v>4</v>
      </c>
      <c r="D7" s="6">
        <v>395000.0</v>
      </c>
      <c r="E7" s="7" t="b">
        <v>1</v>
      </c>
      <c r="F7" s="7" t="b">
        <v>1</v>
      </c>
      <c r="G7" s="7" t="b">
        <v>0</v>
      </c>
      <c r="H7" s="7" t="b">
        <v>1</v>
      </c>
      <c r="I7" s="8">
        <f t="shared" si="1"/>
        <v>3</v>
      </c>
      <c r="J7" s="9">
        <f t="shared" si="2"/>
        <v>131666.6667</v>
      </c>
      <c r="L7" s="21"/>
      <c r="M7" s="21"/>
      <c r="N7" s="21"/>
      <c r="O7" s="18"/>
      <c r="P7" s="22"/>
      <c r="Q7" s="18"/>
      <c r="R7" s="18"/>
    </row>
    <row r="8">
      <c r="L8" s="21"/>
      <c r="M8" s="21"/>
      <c r="N8" s="21"/>
    </row>
    <row r="10">
      <c r="K10" s="21"/>
      <c r="L10" s="21"/>
      <c r="M10" s="21"/>
    </row>
    <row r="11">
      <c r="K11" s="21"/>
      <c r="L11" s="21"/>
      <c r="M11" s="21"/>
    </row>
    <row r="12">
      <c r="K12" s="21"/>
      <c r="L12" s="21"/>
      <c r="M12" s="21"/>
    </row>
    <row r="13">
      <c r="K13" s="21"/>
      <c r="L13" s="21"/>
      <c r="M13" s="21"/>
    </row>
    <row r="14">
      <c r="K14" s="21"/>
      <c r="L14" s="21"/>
      <c r="M14" s="21"/>
    </row>
  </sheetData>
  <dataValidations>
    <dataValidation type="list" allowBlank="1" sqref="C2:C7">
      <formula1>"Anh Phi,Anh Trổi,Vũ,Duyên"</formula1>
    </dataValidation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D2:D7 I2:J7">
      <formula1>AND(ISNUMBER(D2),(NOT(OR(NOT(ISERROR(DATEVALUE(D2))), AND(ISNUMBER(D2), LEFT(CELL("format", D2))="D")))))</formula1>
    </dataValidation>
    <dataValidation type="custom" allowBlank="1" showDropDown="1" sqref="M3:P6">
      <formula1>AND(ISNUMBER(M3),(NOT(OR(NOT(ISERROR(DATEVALUE(M3))), AND(ISNUMBER(M3), LEFT(CELL("format", M3))="D")))))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5.38"/>
    <col customWidth="1" min="3" max="3" width="15.63"/>
    <col customWidth="1" min="4" max="10" width="15.38"/>
    <col customWidth="1" min="11" max="11" width="12.5"/>
    <col customWidth="1" min="12" max="12" width="12.63"/>
    <col customWidth="1" min="13" max="14" width="14.88"/>
    <col customWidth="1" min="15" max="15" width="10.75"/>
    <col customWidth="1" min="16" max="16" width="13.38"/>
    <col customWidth="1" min="17" max="18" width="28.0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/>
      <c r="B2" s="4"/>
      <c r="C2" s="5" t="s">
        <v>11</v>
      </c>
      <c r="D2" s="6"/>
      <c r="E2" s="7" t="b">
        <v>1</v>
      </c>
      <c r="F2" s="7" t="b">
        <v>1</v>
      </c>
      <c r="G2" s="7" t="b">
        <v>1</v>
      </c>
      <c r="H2" s="7" t="b">
        <v>1</v>
      </c>
      <c r="I2" s="8">
        <f t="shared" ref="I2:I7" si="1">COUNTIF(E2:H2, TRUE)</f>
        <v>4</v>
      </c>
      <c r="J2" s="9">
        <f t="shared" ref="J2:J7" si="2">D2/I2</f>
        <v>0</v>
      </c>
      <c r="L2" s="10" t="s">
        <v>12</v>
      </c>
      <c r="M2" s="11" t="s">
        <v>13</v>
      </c>
      <c r="N2" s="11" t="s">
        <v>14</v>
      </c>
      <c r="O2" s="11" t="s">
        <v>4</v>
      </c>
      <c r="P2" s="11" t="s">
        <v>5</v>
      </c>
    </row>
    <row r="3" ht="22.5" customHeight="1">
      <c r="A3" s="3"/>
      <c r="B3" s="4"/>
      <c r="C3" s="5" t="s">
        <v>11</v>
      </c>
      <c r="D3" s="6"/>
      <c r="E3" s="7" t="b">
        <v>1</v>
      </c>
      <c r="F3" s="12" t="b">
        <v>1</v>
      </c>
      <c r="G3" s="7" t="b">
        <v>1</v>
      </c>
      <c r="H3" s="12" t="b">
        <v>1</v>
      </c>
      <c r="I3" s="8">
        <f t="shared" si="1"/>
        <v>4</v>
      </c>
      <c r="J3" s="9">
        <f t="shared" si="2"/>
        <v>0</v>
      </c>
      <c r="L3" s="13" t="s">
        <v>4</v>
      </c>
      <c r="M3" s="14">
        <f>SUMIFS($J:$J, $C:$C, "Anh Phi", $E:$E, TRUE)</f>
        <v>0</v>
      </c>
      <c r="N3" s="14">
        <f>SUMIFS($J:$J, $C:$C, "Anh Trổi", $E:$E, TRUE)</f>
        <v>0</v>
      </c>
      <c r="O3" s="15">
        <v>0.0</v>
      </c>
      <c r="P3" s="14">
        <f>SUMIFS($J:$J, $C:$C, "Duyên", $E:$E, TRUE)</f>
        <v>0</v>
      </c>
      <c r="Q3" s="16"/>
      <c r="R3" s="16"/>
    </row>
    <row r="4" ht="22.5" customHeight="1">
      <c r="A4" s="3"/>
      <c r="B4" s="4"/>
      <c r="C4" s="5" t="s">
        <v>11</v>
      </c>
      <c r="D4" s="6"/>
      <c r="E4" s="7" t="b">
        <v>1</v>
      </c>
      <c r="F4" s="12" t="b">
        <v>1</v>
      </c>
      <c r="G4" s="7" t="b">
        <v>1</v>
      </c>
      <c r="H4" s="7" t="b">
        <v>1</v>
      </c>
      <c r="I4" s="8">
        <f t="shared" si="1"/>
        <v>4</v>
      </c>
      <c r="J4" s="9">
        <f t="shared" si="2"/>
        <v>0</v>
      </c>
      <c r="L4" s="13" t="s">
        <v>5</v>
      </c>
      <c r="M4" s="14">
        <f>SUMIFS($J:$J, $C:$C, "Anh Phi", $F:$F, TRUE)</f>
        <v>0</v>
      </c>
      <c r="N4" s="14">
        <f>SUMIFS($J:$J, $C:$C, "Anh Trổi", $F:$F, TRUE)</f>
        <v>0</v>
      </c>
      <c r="O4" s="9">
        <f>SUMIFS($J:$J, $C:$C, "Vũ", $F:$F, TRUE)</f>
        <v>0</v>
      </c>
      <c r="P4" s="17">
        <v>0.0</v>
      </c>
      <c r="Q4" s="18"/>
      <c r="R4" s="18"/>
    </row>
    <row r="5" ht="22.5" customHeight="1">
      <c r="A5" s="3"/>
      <c r="B5" s="4"/>
      <c r="C5" s="5" t="s">
        <v>14</v>
      </c>
      <c r="D5" s="6"/>
      <c r="E5" s="12" t="b">
        <v>1</v>
      </c>
      <c r="F5" s="7" t="b">
        <v>1</v>
      </c>
      <c r="G5" s="7" t="b">
        <v>1</v>
      </c>
      <c r="H5" s="12" t="b">
        <v>1</v>
      </c>
      <c r="I5" s="8">
        <f t="shared" si="1"/>
        <v>4</v>
      </c>
      <c r="J5" s="9">
        <f t="shared" si="2"/>
        <v>0</v>
      </c>
      <c r="L5" s="13" t="s">
        <v>14</v>
      </c>
      <c r="M5" s="14">
        <f>SUMIFS($J:$J, $C:$C, "Anh Phi", $H:$H, TRUE)</f>
        <v>0</v>
      </c>
      <c r="N5" s="14">
        <v>0.0</v>
      </c>
      <c r="O5" s="9">
        <f>SUMIFS($J:$J, $C:$C, "Vũ", $H:$H, TRUE)</f>
        <v>0</v>
      </c>
      <c r="P5" s="19">
        <f>SUMIFS($J:$J, $C:$C, "Duyên", $H:$H, TRUE)</f>
        <v>0</v>
      </c>
      <c r="Q5" s="18"/>
      <c r="R5" s="18"/>
    </row>
    <row r="6" ht="22.5" customHeight="1">
      <c r="A6" s="3"/>
      <c r="B6" s="4"/>
      <c r="C6" s="5" t="s">
        <v>14</v>
      </c>
      <c r="D6" s="6"/>
      <c r="E6" s="12" t="b">
        <v>1</v>
      </c>
      <c r="F6" s="12" t="b">
        <v>1</v>
      </c>
      <c r="G6" s="12" t="b">
        <v>1</v>
      </c>
      <c r="H6" s="12" t="b">
        <v>1</v>
      </c>
      <c r="I6" s="8">
        <f t="shared" si="1"/>
        <v>4</v>
      </c>
      <c r="J6" s="9">
        <f t="shared" si="2"/>
        <v>0</v>
      </c>
      <c r="L6" s="13" t="s">
        <v>13</v>
      </c>
      <c r="M6" s="14"/>
      <c r="N6" s="9">
        <f>SUMIFS($J:$J, $C:$C, "Anh Trổi", $G:$G, TRUE)</f>
        <v>0</v>
      </c>
      <c r="O6" s="9">
        <f>SUMIFS($J:$J, $C:$C, "Vũ", $G:$G, TRUE)</f>
        <v>0</v>
      </c>
      <c r="P6" s="19">
        <f>SUMIFS($J:$J, $C:$C, "Duyên", $G:$G, TRUE)</f>
        <v>0</v>
      </c>
      <c r="Q6" s="18"/>
      <c r="R6" s="20"/>
    </row>
    <row r="7" ht="22.5" customHeight="1">
      <c r="A7" s="3"/>
      <c r="B7" s="4"/>
      <c r="C7" s="5" t="s">
        <v>4</v>
      </c>
      <c r="D7" s="6"/>
      <c r="E7" s="7" t="b">
        <v>1</v>
      </c>
      <c r="F7" s="7" t="b">
        <v>1</v>
      </c>
      <c r="G7" s="7" t="b">
        <v>1</v>
      </c>
      <c r="H7" s="7" t="b">
        <v>1</v>
      </c>
      <c r="I7" s="8">
        <f t="shared" si="1"/>
        <v>4</v>
      </c>
      <c r="J7" s="9">
        <f t="shared" si="2"/>
        <v>0</v>
      </c>
      <c r="L7" s="21"/>
      <c r="M7" s="21"/>
      <c r="N7" s="21"/>
      <c r="O7" s="18"/>
      <c r="P7" s="22"/>
      <c r="Q7" s="18"/>
      <c r="R7" s="18"/>
    </row>
    <row r="8">
      <c r="L8" s="21"/>
      <c r="M8" s="21"/>
      <c r="N8" s="21"/>
    </row>
    <row r="10">
      <c r="K10" s="21"/>
      <c r="L10" s="21"/>
      <c r="M10" s="21"/>
    </row>
    <row r="11">
      <c r="K11" s="21"/>
      <c r="L11" s="21"/>
      <c r="M11" s="21"/>
    </row>
    <row r="12">
      <c r="K12" s="21"/>
      <c r="L12" s="21"/>
      <c r="M12" s="21"/>
    </row>
    <row r="13">
      <c r="K13" s="21"/>
      <c r="L13" s="21"/>
      <c r="M13" s="21"/>
    </row>
    <row r="14">
      <c r="K14" s="21"/>
      <c r="L14" s="21"/>
      <c r="M14" s="21"/>
    </row>
  </sheetData>
  <dataValidations>
    <dataValidation type="list" allowBlank="1" sqref="C2:C7">
      <formula1>"Anh Phi,Anh Trổi,Vũ,Duyên"</formula1>
    </dataValidation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D2:D7 I2:J7">
      <formula1>AND(ISNUMBER(D2),(NOT(OR(NOT(ISERROR(DATEVALUE(D2))), AND(ISNUMBER(D2), LEFT(CELL("format", D2))="D")))))</formula1>
    </dataValidation>
    <dataValidation type="custom" allowBlank="1" showDropDown="1" sqref="M3:P6">
      <formula1>AND(ISNUMBER(M3),(NOT(OR(NOT(ISERROR(DATEVALUE(M3))), AND(ISNUMBER(M3), LEFT(CELL("format", M3))="D")))))</formula1>
    </dataValidation>
  </dataValidations>
  <drawing r:id="rId1"/>
  <tableParts count="2">
    <tablePart r:id="rId4"/>
    <tablePart r:id="rId5"/>
  </tableParts>
</worksheet>
</file>